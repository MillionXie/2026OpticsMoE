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a9117a798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c22aa94b6d43e4"/>
    <x:sheet xmlns:r="http://schemas.openxmlformats.org/officeDocument/2006/relationships" name="Batch results" sheetId="2" r:id="Rc363bf3914594dde"/>
    <x:sheet xmlns:r="http://schemas.openxmlformats.org/officeDocument/2006/relationships" name="Sources" sheetId="3" r:id="R947b58981fa7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4C1D95"/>
      <x:name val="Arial"/>
    </x:font>
    <x:font>
      <x:b/>
      <x:sz val="15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5A8F"/>
      </x:patternFill>
    </x:fill>
    <x:fill>
      <x:patternFill patternType="solid">
        <x:fgColor rgb="FFEDE9FE"/>
      </x:patternFill>
    </x:fill>
    <x:fill>
      <x:patternFill patternType="solid">
        <x:fgColor rgb="FFFFF2CC"/>
      </x:patternFill>
    </x:fill>
    <x:fill>
      <x:patternFill patternType="solid">
        <x:fgColor rgb="FFE8F2FB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1" fontId="1" fillId="3" borderId="1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201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/>
    <x:xf numFmtId="0" fontId="1" fillId="5" borderId="2" xfId="0" applyNumberFormat="1" applyFont="1" applyFill="1" applyBorder="1"/>
    <x:xf numFmtId="0" fontId="1" fillId="4" borderId="3" xfId="0" applyNumberFormat="1" applyFont="1" applyFill="1" applyBorder="1"/>
    <x:xf numFmtId="0" fontId="1" fillId="5" borderId="3" xfId="0" applyNumberFormat="1" applyFont="1" applyFill="1" applyBorder="1"/>
    <x:xf numFmtId="200" fontId="1" fillId="4" borderId="2" xfId="0" applyNumberFormat="1" applyFont="1" applyFill="1" applyBorder="1"/>
    <x:xf numFmtId="200" fontId="1" fillId="4" borderId="3" xfId="0" applyNumberFormat="1" applyFont="1" applyFill="1" applyBorder="1"/>
    <x:xf numFmtId="201" fontId="1" fillId="4" borderId="2" xfId="0" applyNumberFormat="1" applyFont="1" applyFill="1" applyBorder="1"/>
    <x:xf numFmtId="201" fontId="1" fillId="5" borderId="2" xfId="0" applyNumberFormat="1" applyFont="1" applyFill="1" applyBorder="1"/>
    <x:xf numFmtId="201" fontId="1" fillId="4" borderId="3" xfId="0" applyNumberFormat="1" applyFont="1" applyFill="1" applyBorder="1"/>
    <x:xf numFmtId="201" fontId="1" fillId="5" borderId="3" xfId="0" applyNumberFormat="1" applyFont="1" applyFill="1" applyBorder="1"/>
    <x:xf numFmtId="0" fontId="6" fillId="0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7c8f644ba482a" /><Relationship Type="http://schemas.openxmlformats.org/officeDocument/2006/relationships/theme" Target="/xl/theme/theme1.xml" Id="Re997dfa222294156" /><Relationship Type="http://schemas.openxmlformats.org/officeDocument/2006/relationships/sharedStrings" Target="/xl/sharedStrings.xml" Id="R3340cabc56a64e33" /><Relationship Type="http://schemas.openxmlformats.org/officeDocument/2006/relationships/worksheet" Target="/xl/worksheets/sheet1.xml" Id="R7dc22aa94b6d43e4" /><Relationship Type="http://schemas.openxmlformats.org/officeDocument/2006/relationships/worksheet" Target="/xl/worksheets/sheet2.xml" Id="Rc363bf3914594dde" /><Relationship Type="http://schemas.openxmlformats.org/officeDocument/2006/relationships/worksheet" Target="/xl/worksheets/sheet3.xml" Id="R947b58981fa7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" hidden="0" customWidth="1"/>
    <x:col min="3" max="3" width="11" hidden="0" customWidth="1"/>
    <x:col min="4" max="4" width="21" hidden="0" customWidth="1"/>
    <x:col min="5" max="5" width="21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LGVQ temporal quality: A100 batch scaling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200 test videos per batch setting; no explicit warm-up; first call included; fixed formal-test SRCC</x:v>
      </x:c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2" customHeight="1">
      <x:c r="A5" s="7" t="str">
        <x:v>Model</x:v>
      </x:c>
      <x:c r="B5" s="7" t="str">
        <x:v>Batch</x:v>
      </x:c>
      <x:c r="C5" s="7" t="str">
        <x:v>SRCC</x:v>
      </x:c>
      <x:c r="D5" s="7" t="str">
        <x:v>16-video latency (ms)</x:v>
      </x:c>
      <x:c r="E5" s="7" t="str">
        <x:v>16-video energy (J)</x:v>
      </x:c>
      <x:c r="F5" s="7" t="str">
        <x:v>Videos/J</x:v>
      </x:c>
      <x:c r="G5" s="7" t="str">
        <x:v>Latency / Ours</x:v>
      </x:c>
      <x:c r="H5" s="7" t="str">
        <x:v>Energy / Ours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2" customHeight="1">
      <x:c r="A6" s="23" t="str">
        <x:f>'Batch results'!A2</x:f>
        <x:v>LightGenV2 Ours</x:v>
      </x:c>
      <x:c r="B6" s="23" t="n">
        <x:f>'Batch results'!B2</x:f>
        <x:v>16</x:v>
      </x:c>
      <x:c r="C6" s="24" t="n">
        <x:f>'Batch results'!C2</x:f>
        <x:v>0.8044</x:v>
      </x:c>
      <x:c r="D6" s="25" t="n">
        <x:f>'Batch results'!O2</x:f>
        <x:v>10.52378531679213</x:v>
      </x:c>
      <x:c r="E6" s="25" t="n">
        <x:f>'Batch results'!P2</x:f>
        <x:v>1.2066879347692436</x:v>
      </x:c>
      <x:c r="F6" s="25" t="n">
        <x:f>'Batch results'!Q2</x:f>
        <x:v>13.259434804127464</x:v>
      </x:c>
      <x:c r="G6" s="25" t="n">
        <x:f>'Batch results'!R2</x:f>
        <x:v>1</x:v>
      </x:c>
      <x:c r="H6" s="25" t="n">
        <x:f>'Batch results'!S2</x:f>
        <x:v>1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2" customHeight="1">
      <x:c r="A7" s="26" t="str">
        <x:f>'Batch results'!A3</x:f>
        <x:v>Qwen3-VL-2B</x:v>
      </x:c>
      <x:c r="B7" s="26" t="n">
        <x:f>'Batch results'!B3</x:f>
        <x:v>1</x:v>
      </x:c>
      <x:c r="C7" s="27" t="n">
        <x:f>'Batch results'!C3</x:f>
        <x:v>0.7663428036522781</x:v>
      </x:c>
      <x:c r="D7" s="28" t="n">
        <x:f>'Batch results'!O3</x:f>
        <x:v>836.0902297496796</x:v>
      </x:c>
      <x:c r="E7" s="28" t="n">
        <x:f>'Batch results'!P3</x:f>
        <x:v>409.8658550628422</x:v>
      </x:c>
      <x:c r="F7" s="28" t="n">
        <x:f>'Batch results'!Q3</x:f>
        <x:v>0.039037162531011076</x:v>
      </x:c>
      <x:c r="G7" s="28" t="n">
        <x:f>'Batch results'!R3</x:f>
        <x:v>79.44767064143582</x:v>
      </x:c>
      <x:c r="H7" s="28" t="n">
        <x:f>'Batch results'!S3</x:f>
        <x:v>339.661848977732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2" customHeight="1">
      <x:c r="A8" s="26" t="str">
        <x:f>'Batch results'!A4</x:f>
        <x:v>Qwen3-VL-2B</x:v>
      </x:c>
      <x:c r="B8" s="26" t="n">
        <x:f>'Batch results'!B4</x:f>
        <x:v>2</x:v>
      </x:c>
      <x:c r="C8" s="27" t="n">
        <x:f>'Batch results'!C4</x:f>
        <x:v>0.7663428036522781</x:v>
      </x:c>
      <x:c r="D8" s="28" t="n">
        <x:f>'Batch results'!O4</x:f>
        <x:v>527.1259415149689</x:v>
      </x:c>
      <x:c r="E8" s="28" t="n">
        <x:f>'Batch results'!P4</x:f>
        <x:v>279.9826211055074</x:v>
      </x:c>
      <x:c r="F8" s="28" t="n">
        <x:f>'Batch results'!Q4</x:f>
        <x:v>0.05714640407616811</x:v>
      </x:c>
      <x:c r="G8" s="28" t="n">
        <x:f>'Batch results'!R4</x:f>
        <x:v>50.08900558564871</x:v>
      </x:c>
      <x:c r="H8" s="28" t="n">
        <x:f>'Batch results'!S4</x:f>
        <x:v>232.02570692732485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2" customHeight="1">
      <x:c r="A9" s="26" t="str">
        <x:f>'Batch results'!A5</x:f>
        <x:v>Qwen3-VL-2B</x:v>
      </x:c>
      <x:c r="B9" s="26" t="n">
        <x:f>'Batch results'!B5</x:f>
        <x:v>4</x:v>
      </x:c>
      <x:c r="C9" s="27" t="n">
        <x:f>'Batch results'!C5</x:f>
        <x:v>0.7663428036522781</x:v>
      </x:c>
      <x:c r="D9" s="28" t="n">
        <x:f>'Batch results'!O5</x:f>
        <x:v>470.5724906921387</x:v>
      </x:c>
      <x:c r="E9" s="28" t="n">
        <x:f>'Batch results'!P5</x:f>
        <x:v>251.14920752881366</x:v>
      </x:c>
      <x:c r="F9" s="28" t="n">
        <x:f>'Batch results'!Q5</x:f>
        <x:v>0.06370714905865019</x:v>
      </x:c>
      <x:c r="G9" s="28" t="n">
        <x:f>'Batch results'!R5</x:f>
        <x:v>44.71513590659021</x:v>
      </x:c>
      <x:c r="H9" s="28" t="n">
        <x:f>'Batch results'!S5</x:f>
        <x:v>208.13103395853645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2" customHeight="1">
      <x:c r="A10" s="26" t="str">
        <x:f>'Batch results'!A6</x:f>
        <x:v>Qwen3-VL-2B</x:v>
      </x:c>
      <x:c r="B10" s="26" t="n">
        <x:f>'Batch results'!B6</x:f>
        <x:v>8</x:v>
      </x:c>
      <x:c r="C10" s="27" t="n">
        <x:f>'Batch results'!C6</x:f>
        <x:v>0.7663428036522781</x:v>
      </x:c>
      <x:c r="D10" s="28" t="n">
        <x:f>'Batch results'!O6</x:f>
        <x:v>443.4593552350998</x:v>
      </x:c>
      <x:c r="E10" s="28" t="n">
        <x:f>'Batch results'!P6</x:f>
        <x:v>237.14935067821463</x:v>
      </x:c>
      <x:c r="F10" s="28" t="n">
        <x:f>'Batch results'!Q6</x:f>
        <x:v>0.06746803208291396</x:v>
      </x:c>
      <x:c r="G10" s="28" t="n">
        <x:f>'Batch results'!R6</x:f>
        <x:v>42.13876869262052</x:v>
      </x:c>
      <x:c r="H10" s="28" t="n">
        <x:f>'Batch results'!S6</x:f>
        <x:v>196.52914713493425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2" customHeight="1">
      <x:c r="A11" s="26" t="str">
        <x:f>'Batch results'!A7</x:f>
        <x:v>CLIP ViT-B/32</x:v>
      </x:c>
      <x:c r="B11" s="26" t="n">
        <x:f>'Batch results'!B7</x:f>
        <x:v>1</x:v>
      </x:c>
      <x:c r="C11" s="27" t="n">
        <x:f>'Batch results'!C7</x:f>
        <x:v>0.7251568</x:v>
      </x:c>
      <x:c r="D11" s="28" t="n">
        <x:f>'Batch results'!O7</x:f>
        <x:v>129.16840374469757</x:v>
      </x:c>
      <x:c r="E11" s="28" t="n">
        <x:f>'Batch results'!P7</x:f>
        <x:v>53.72435063321145</x:v>
      </x:c>
      <x:c r="F11" s="28" t="n">
        <x:f>'Batch results'!Q7</x:f>
        <x:v>0.2978165359174966</x:v>
      </x:c>
      <x:c r="G11" s="28" t="n">
        <x:f>'Batch results'!R7</x:f>
        <x:v>12.273948950535111</x:v>
      </x:c>
      <x:c r="H11" s="28" t="n">
        <x:f>'Batch results'!S7</x:f>
        <x:v>44.522157788446954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2" customHeight="1">
      <x:c r="A12" s="26" t="str">
        <x:f>'Batch results'!A8</x:f>
        <x:v>CLIP ViT-B/32</x:v>
      </x:c>
      <x:c r="B12" s="26" t="n">
        <x:f>'Batch results'!B8</x:f>
        <x:v>2</x:v>
      </x:c>
      <x:c r="C12" s="27" t="n">
        <x:f>'Batch results'!C8</x:f>
        <x:v>0.7251568</x:v>
      </x:c>
      <x:c r="D12" s="28" t="n">
        <x:f>'Batch results'!O8</x:f>
        <x:v>79.6497255563736</x:v>
      </x:c>
      <x:c r="E12" s="28" t="n">
        <x:f>'Batch results'!P8</x:f>
        <x:v>36.196761687737954</x:v>
      </x:c>
      <x:c r="F12" s="28" t="n">
        <x:f>'Batch results'!Q8</x:f>
        <x:v>0.442028492438874</x:v>
      </x:c>
      <x:c r="G12" s="28" t="n">
        <x:f>'Batch results'!R8</x:f>
        <x:v>7.568543367117308</x:v>
      </x:c>
      <x:c r="H12" s="28" t="n">
        <x:f>'Batch results'!S8</x:f>
        <x:v>29.99678760744376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2" customHeight="1">
      <x:c r="A13" s="26" t="str">
        <x:f>'Batch results'!A9</x:f>
        <x:v>CLIP ViT-B/32</x:v>
      </x:c>
      <x:c r="B13" s="26" t="n">
        <x:f>'Batch results'!B9</x:f>
        <x:v>4</x:v>
      </x:c>
      <x:c r="C13" s="27" t="n">
        <x:f>'Batch results'!C9</x:f>
        <x:v>0.7251568</x:v>
      </x:c>
      <x:c r="D13" s="28" t="n">
        <x:f>'Batch results'!O9</x:f>
        <x:v>50.92234134674072</x:v>
      </x:c>
      <x:c r="E13" s="28" t="n">
        <x:f>'Batch results'!P9</x:f>
        <x:v>24.88898617468472</x:v>
      </x:c>
      <x:c r="F13" s="28" t="n">
        <x:f>'Batch results'!Q9</x:f>
        <x:v>0.6428546300642026</x:v>
      </x:c>
      <x:c r="G13" s="28" t="n">
        <x:f>'Batch results'!R9</x:f>
        <x:v>4.8387856473551585</x:v>
      </x:c>
      <x:c r="H13" s="28" t="n">
        <x:f>'Batch results'!S9</x:f>
        <x:v>20.625868095253868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2" customHeight="1">
      <x:c r="A14" s="26" t="str">
        <x:f>'Batch results'!A10</x:f>
        <x:v>CLIP ViT-B/32</x:v>
      </x:c>
      <x:c r="B14" s="26" t="n">
        <x:f>'Batch results'!B10</x:f>
        <x:v>8</x:v>
      </x:c>
      <x:c r="C14" s="27" t="n">
        <x:f>'Batch results'!C10</x:f>
        <x:v>0.7251568</x:v>
      </x:c>
      <x:c r="D14" s="28" t="n">
        <x:f>'Batch results'!O10</x:f>
        <x:v>37.582905292510986</x:v>
      </x:c>
      <x:c r="E14" s="28" t="n">
        <x:f>'Batch results'!P10</x:f>
        <x:v>20.70982273600761</x:v>
      </x:c>
      <x:c r="F14" s="28" t="n">
        <x:f>'Batch results'!Q10</x:f>
        <x:v>0.7725802487039752</x:v>
      </x:c>
      <x:c r="G14" s="28" t="n">
        <x:f>'Batch results'!R10</x:f>
        <x:v>3.5712345093682547</x:v>
      </x:c>
      <x:c r="H14" s="28" t="n">
        <x:f>'Batch results'!S10</x:f>
        <x:v>17.162534023320596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2" customHeight="1">
      <x:c r="A15" s="26" t="str">
        <x:f>'Batch results'!A11</x:f>
        <x:v>DeepSeek-VL2-Tiny</x:v>
      </x:c>
      <x:c r="B15" s="26" t="n">
        <x:f>'Batch results'!B11</x:f>
        <x:v>1</x:v>
      </x:c>
      <x:c r="C15" s="27" t="n">
        <x:f>'Batch results'!C11</x:f>
        <x:v>0.5688169</x:v>
      </x:c>
      <x:c r="D15" s="28" t="n">
        <x:f>'Batch results'!O11</x:f>
        <x:v>3415.7965528964996</x:v>
      </x:c>
      <x:c r="E15" s="28" t="n">
        <x:f>'Batch results'!P11</x:f>
        <x:v>1743.9456654419027</x:v>
      </x:c>
      <x:c r="F15" s="28" t="n">
        <x:f>'Batch results'!Q11</x:f>
        <x:v>0.009174597762451343</x:v>
      </x:c>
      <x:c r="G15" s="28" t="n">
        <x:f>'Batch results'!R11</x:f>
        <x:v>324.57869959073867</x:v>
      </x:c>
      <x:c r="H15" s="28" t="n">
        <x:f>'Batch results'!S11</x:f>
        <x:v>1445.2333658042248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2" customHeight="1">
      <x:c r="A16" s="26" t="str">
        <x:f>'Batch results'!A12</x:f>
        <x:v>DeepSeek-VL2-Tiny</x:v>
      </x:c>
      <x:c r="B16" s="26" t="n">
        <x:f>'Batch results'!B12</x:f>
        <x:v>2</x:v>
      </x:c>
      <x:c r="C16" s="27" t="n">
        <x:f>'Batch results'!C12</x:f>
        <x:v>0.5688169</x:v>
      </x:c>
      <x:c r="D16" s="28" t="n">
        <x:f>'Batch results'!O12</x:f>
        <x:v>2021.9438445568085</x:v>
      </x:c>
      <x:c r="E16" s="28" t="n">
        <x:f>'Batch results'!P12</x:f>
        <x:v>1105.6136255088163</x:v>
      </x:c>
      <x:c r="F16" s="28" t="n">
        <x:f>'Batch results'!Q12</x:f>
        <x:v>0.01447160167968861</x:v>
      </x:c>
      <x:c r="G16" s="28" t="n">
        <x:f>'Batch results'!R12</x:f>
        <x:v>192.13085251088523</x:v>
      </x:c>
      <x:c r="H16" s="28" t="n">
        <x:f>'Batch results'!S12</x:f>
        <x:v>916.2382366243216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2" customHeight="1">
      <x:c r="A17" s="26" t="str">
        <x:f>'Batch results'!A13</x:f>
        <x:v>DeepSeek-VL2-Tiny</x:v>
      </x:c>
      <x:c r="B17" s="26" t="n">
        <x:f>'Batch results'!B13</x:f>
        <x:v>4</x:v>
      </x:c>
      <x:c r="C17" s="27" t="n">
        <x:f>'Batch results'!C13</x:f>
        <x:v>0.5688169</x:v>
      </x:c>
      <x:c r="D17" s="28" t="n">
        <x:f>'Batch results'!O13</x:f>
        <x:v>1597.508116364479</x:v>
      </x:c>
      <x:c r="E17" s="28" t="n">
        <x:f>'Batch results'!P13</x:f>
        <x:v>927.8039361787053</x:v>
      </x:c>
      <x:c r="F17" s="28" t="n">
        <x:f>'Batch results'!Q13</x:f>
        <x:v>0.017245022764074826</x:v>
      </x:c>
      <x:c r="G17" s="28" t="n">
        <x:f>'Batch results'!R13</x:f>
        <x:v>151.79976294417918</x:v>
      </x:c>
      <x:c r="H17" s="28" t="n">
        <x:f>'Batch results'!S13</x:f>
        <x:v>768.8847376733988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2" customHeight="1">
      <x:c r="A18" s="26" t="str">
        <x:f>'Batch results'!A14</x:f>
        <x:v>DeepSeek-VL2-Tiny</x:v>
      </x:c>
      <x:c r="B18" s="26" t="n">
        <x:f>'Batch results'!B14</x:f>
        <x:v>8</x:v>
      </x:c>
      <x:c r="C18" s="27" t="n">
        <x:f>'Batch results'!C14</x:f>
        <x:v>0.5688169</x:v>
      </x:c>
      <x:c r="D18" s="28" t="n">
        <x:f>'Batch results'!O14</x:f>
        <x:v>1472.2051894664764</x:v>
      </x:c>
      <x:c r="E18" s="28" t="n">
        <x:f>'Batch results'!P14</x:f>
        <x:v>859.7799424074277</x:v>
      </x:c>
      <x:c r="F18" s="28" t="n">
        <x:f>'Batch results'!Q14</x:f>
        <x:v>0.01860941295652837</x:v>
      </x:c>
      <x:c r="G18" s="28" t="n">
        <x:f>'Batch results'!R14</x:f>
        <x:v>139.8931225931959</x:v>
      </x:c>
      <x:c r="H18" s="28" t="n">
        <x:f>'Batch results'!S14</x:f>
        <x:v>712.5122557654846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2" customHeight="1">
      <x:c r="A19" s="26" t="str">
        <x:f>'Batch results'!A15</x:f>
        <x:v>YOLO11s</x:v>
      </x:c>
      <x:c r="B19" s="26" t="n">
        <x:f>'Batch results'!B15</x:f>
        <x:v>1</x:v>
      </x:c>
      <x:c r="C19" s="27" t="n">
        <x:f>'Batch results'!C15</x:f>
        <x:v>0.7015822</x:v>
      </x:c>
      <x:c r="D19" s="28" t="n">
        <x:f>'Batch results'!O15</x:f>
        <x:v>247.12896168231964</x:v>
      </x:c>
      <x:c r="E19" s="28" t="n">
        <x:f>'Batch results'!P15</x:f>
        <x:v>113.76834138070281</x:v>
      </x:c>
      <x:c r="F19" s="28" t="n">
        <x:f>'Batch results'!Q15</x:f>
        <x:v>0.14063666399476835</x:v>
      </x:c>
      <x:c r="G19" s="28" t="n">
        <x:f>'Batch results'!R15</x:f>
        <x:v>23.482896528494532</x:v>
      </x:c>
      <x:c r="H19" s="28" t="n">
        <x:f>'Batch results'!S15</x:f>
        <x:v>94.2814940819466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2" customHeight="1">
      <x:c r="A20" s="26" t="str">
        <x:f>'Batch results'!A16</x:f>
        <x:v>YOLO11s</x:v>
      </x:c>
      <x:c r="B20" s="26" t="n">
        <x:f>'Batch results'!B16</x:f>
        <x:v>2</x:v>
      </x:c>
      <x:c r="C20" s="27" t="n">
        <x:f>'Batch results'!C16</x:f>
        <x:v>0.7015822</x:v>
      </x:c>
      <x:c r="D20" s="28" t="n">
        <x:f>'Batch results'!O16</x:f>
        <x:v>145.42388081550598</x:v>
      </x:c>
      <x:c r="E20" s="28" t="n">
        <x:f>'Batch results'!P16</x:f>
        <x:v>76.0275842628457</x:v>
      </x:c>
      <x:c r="F20" s="28" t="n">
        <x:f>'Batch results'!Q16</x:f>
        <x:v>0.2104499328123348</x:v>
      </x:c>
      <x:c r="G20" s="28" t="n">
        <x:f>'Batch results'!R16</x:f>
        <x:v>13.818590596243197</x:v>
      </x:c>
      <x:c r="H20" s="28" t="n">
        <x:f>'Batch results'!S16</x:f>
        <x:v>63.00517480303186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2" customHeight="1">
      <x:c r="A21" s="26" t="str">
        <x:f>'Batch results'!A17</x:f>
        <x:v>YOLO11s</x:v>
      </x:c>
      <x:c r="B21" s="26" t="n">
        <x:f>'Batch results'!B17</x:f>
        <x:v>4</x:v>
      </x:c>
      <x:c r="C21" s="27" t="n">
        <x:f>'Batch results'!C17</x:f>
        <x:v>0.7015822</x:v>
      </x:c>
      <x:c r="D21" s="28" t="n">
        <x:f>'Batch results'!O17</x:f>
        <x:v>127.00595915317535</x:v>
      </x:c>
      <x:c r="E21" s="28" t="n">
        <x:f>'Batch results'!P17</x:f>
        <x:v>74.4382566195116</x:v>
      </x:c>
      <x:c r="F21" s="28" t="n">
        <x:f>'Batch results'!Q17</x:f>
        <x:v>0.21494323922419903</x:v>
      </x:c>
      <x:c r="G21" s="28" t="n">
        <x:f>'Batch results'!R17</x:f>
        <x:v>12.068467317602924</x:v>
      </x:c>
      <x:c r="H21" s="28" t="n">
        <x:f>'Batch results'!S17</x:f>
        <x:v>61.68807566120773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2" customHeight="1">
      <x:c r="A22" s="29" t="str">
        <x:f>'Batch results'!A18</x:f>
        <x:v>YOLO11s</x:v>
      </x:c>
      <x:c r="B22" s="29" t="n">
        <x:f>'Batch results'!B18</x:f>
        <x:v>8</x:v>
      </x:c>
      <x:c r="C22" s="30" t="n">
        <x:f>'Batch results'!C18</x:f>
        <x:v>0.7015822</x:v>
      </x:c>
      <x:c r="D22" s="31" t="n">
        <x:f>'Batch results'!O18</x:f>
        <x:v>104.83966767787933</x:v>
      </x:c>
      <x:c r="E22" s="31" t="n">
        <x:f>'Batch results'!P18</x:f>
        <x:v>61.49090625030171</x:v>
      </x:c>
      <x:c r="F22" s="31" t="n">
        <x:f>'Batch results'!Q18</x:f>
        <x:v>0.2602010764790362</x:v>
      </x:c>
      <x:c r="G22" s="31" t="n">
        <x:f>'Batch results'!R18</x:f>
        <x:v>9.962163282691959</x:v>
      </x:c>
      <x:c r="H22" s="31" t="n">
        <x:f>'Batch results'!S18</x:f>
        <x:v>50.95841640453685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54" hidden="0" customWidth="1"/>
  </x:cols>
  <x:sheetData>
    <x:row r="1">
      <x:c r="A1" s="37" t="str">
        <x:v>Model</x:v>
      </x:c>
      <x:c r="B1" s="37" t="str">
        <x:v>Batch</x:v>
      </x:c>
      <x:c r="C1" s="37" t="str">
        <x:v>Formal SRCC</x:v>
      </x:c>
      <x:c r="D1" s="37" t="str">
        <x:v>Measured videos</x:v>
      </x:c>
      <x:c r="E1" s="37" t="str">
        <x:v>Measured calls</x:v>
      </x:c>
      <x:c r="F1" s="37" t="str">
        <x:v>Wall mean / batch (ms)</x:v>
      </x:c>
      <x:c r="G1" s="37" t="str">
        <x:v>Wall P95 / batch (ms)</x:v>
      </x:c>
      <x:c r="H1" s="37" t="str">
        <x:v>A100 board power (W)</x:v>
      </x:c>
      <x:c r="I1" s="37" t="str">
        <x:v>Host power (W)</x:v>
      </x:c>
      <x:c r="J1" s="37" t="str">
        <x:v>Calls for 16 videos</x:v>
      </x:c>
      <x:c r="K1" s="37" t="str">
        <x:v>Fixed-time flag</x:v>
      </x:c>
      <x:c r="L1" s="37" t="str">
        <x:v>Fixed 16-video time (ms)</x:v>
      </x:c>
      <x:c r="M1" s="37" t="str">
        <x:v>Fixed 16-video energy (J)</x:v>
      </x:c>
      <x:c r="N1" s="37" t="str">
        <x:v>Host + board power (W)</x:v>
      </x:c>
      <x:c r="O1" s="37" t="str">
        <x:v>16-video time (ms)</x:v>
      </x:c>
      <x:c r="P1" s="37" t="str">
        <x:v>16-video energy (J)</x:v>
      </x:c>
      <x:c r="Q1" s="37" t="str">
        <x:v>Videos/J</x:v>
      </x:c>
      <x:c r="R1" s="37" t="str">
        <x:v>Latency / Ours</x:v>
      </x:c>
      <x:c r="S1" s="37" t="str">
        <x:v>Energy / Ours</x:v>
      </x:c>
      <x:c r="T1" s="37" t="str">
        <x:v>Timing source</x:v>
      </x:c>
      <x:c r="U1" s="1"/>
      <x:c r="V1" s="1"/>
      <x:c r="W1" s="1"/>
      <x:c r="X1" s="1"/>
      <x:c r="Y1" s="1"/>
      <x:c r="Z1" s="1"/>
    </x:row>
    <x:row r="2">
      <x:c r="A2" s="38" t="str">
        <x:v>LightGenV2 Ours</x:v>
      </x:c>
      <x:c r="B2" s="38" t="n">
        <x:v>16</x:v>
      </x:c>
      <x:c r="C2" s="42" t="n">
        <x:v>0.8044</x:v>
      </x:c>
      <x:c r="D2" s="38" t="n">
        <x:v>200</x:v>
      </x:c>
      <x:c r="E2" s="38" t="n">
        <x:v>200</x:v>
      </x:c>
      <x:c r="F2" s="44" t="n">
        <x:v>10.52378531679213</x:v>
      </x:c>
      <x:c r="G2" s="44"/>
      <x:c r="H2" s="44" t="n">
        <x:v>62.842</x:v>
      </x:c>
      <x:c r="I2" s="44" t="n">
        <x:v>338.2</x:v>
      </x:c>
      <x:c r="J2" s="44" t="n">
        <x:v>1</x:v>
      </x:c>
      <x:c r="K2" s="44" t="n">
        <x:v>1</x:v>
      </x:c>
      <x:c r="L2" s="44" t="n">
        <x:v>10.52378531679213</x:v>
      </x:c>
      <x:c r="M2" s="44" t="n">
        <x:v>1.2066879347692436</x:v>
      </x:c>
      <x:c r="N2" s="45" t="str">
        <x:f>IF(K2=1,"",H2+I2)</x:f>
      </x:c>
      <x:c r="O2" s="45" t="n">
        <x:f>IF(K2=1,L2,F2*J2)</x:f>
        <x:v>10.52378531679213</x:v>
      </x:c>
      <x:c r="P2" s="45" t="n">
        <x:f>IF(K2=1,M2,N2*O2/1000)</x:f>
        <x:v>1.2066879347692436</x:v>
      </x:c>
      <x:c r="Q2" s="45" t="n">
        <x:f>16/P2</x:f>
        <x:v>13.259434804127464</x:v>
      </x:c>
      <x:c r="R2" s="45" t="n">
        <x:f>O2/$O$2</x:f>
        <x:v>1</x:v>
      </x:c>
      <x:c r="S2" s="45" t="n">
        <x:f>P2/$P$2</x:f>
        <x:v>1</x:v>
      </x:c>
      <x:c r="T2" s="9" t="str">
        <x:v>prior unified A100 200-sample narrow-boundary audit</x:v>
      </x:c>
      <x:c r="U2" s="1"/>
      <x:c r="V2" s="1"/>
      <x:c r="W2" s="1"/>
      <x:c r="X2" s="1"/>
      <x:c r="Y2" s="1"/>
      <x:c r="Z2" s="1"/>
    </x:row>
    <x:row r="3">
      <x:c r="A3" s="38" t="str">
        <x:v>Qwen3-VL-2B</x:v>
      </x:c>
      <x:c r="B3" s="38" t="n">
        <x:v>1</x:v>
      </x:c>
      <x:c r="C3" s="42" t="n">
        <x:v>0.7663428036522781</x:v>
      </x:c>
      <x:c r="D3" s="38" t="n">
        <x:v>200</x:v>
      </x:c>
      <x:c r="E3" s="38" t="n">
        <x:v>200</x:v>
      </x:c>
      <x:c r="F3" s="44" t="n">
        <x:v>52.25563935935497</x:v>
      </x:c>
      <x:c r="G3" s="44" t="n">
        <x:v>54.41095605492592</x:v>
      </x:c>
      <x:c r="H3" s="44" t="n">
        <x:v>152.01725225225226</x:v>
      </x:c>
      <x:c r="I3" s="44" t="n">
        <x:v>338.2</x:v>
      </x:c>
      <x:c r="J3" s="44" t="n">
        <x:v>16</x:v>
      </x:c>
      <x:c r="K3" s="44" t="n">
        <x:v>0</x:v>
      </x:c>
      <x:c r="L3" s="44"/>
      <x:c r="M3" s="44"/>
      <x:c r="N3" s="45" t="n">
        <x:f>IF(K3=1,"",H3+I3)</x:f>
        <x:v>490.21725225225225</x:v>
      </x:c>
      <x:c r="O3" s="45" t="n">
        <x:f>IF(K3=1,L3,F3*J3)</x:f>
        <x:v>836.0902297496796</x:v>
      </x:c>
      <x:c r="P3" s="45" t="n">
        <x:f>IF(K3=1,M3,N3*O3/1000)</x:f>
        <x:v>409.8658550628422</x:v>
      </x:c>
      <x:c r="Q3" s="45" t="n">
        <x:f>16/P3</x:f>
        <x:v>0.039037162531011076</x:v>
      </x:c>
      <x:c r="R3" s="45" t="n">
        <x:f>O3/$O$2</x:f>
        <x:v>79.44767064143582</x:v>
      </x:c>
      <x:c r="S3" s="45" t="n">
        <x:f>P3/$P$2</x:f>
        <x:v>339.661848977732</x:v>
      </x:c>
      <x:c r="T3" s="9" t="str">
        <x:v>raw_remote\qwen3_vl_2b_wall_independent\batch_1\formal\batch_01\report.json</x:v>
      </x:c>
      <x:c r="U3" s="1"/>
      <x:c r="V3" s="1"/>
      <x:c r="W3" s="1"/>
      <x:c r="X3" s="1"/>
      <x:c r="Y3" s="1"/>
      <x:c r="Z3" s="1"/>
    </x:row>
    <x:row r="4">
      <x:c r="A4" s="38" t="str">
        <x:v>Qwen3-VL-2B</x:v>
      </x:c>
      <x:c r="B4" s="38" t="n">
        <x:v>2</x:v>
      </x:c>
      <x:c r="C4" s="42" t="n">
        <x:v>0.7663428036522781</x:v>
      </x:c>
      <x:c r="D4" s="38" t="n">
        <x:v>200</x:v>
      </x:c>
      <x:c r="E4" s="38" t="n">
        <x:v>100</x:v>
      </x:c>
      <x:c r="F4" s="44" t="n">
        <x:v>65.89074268937111</x:v>
      </x:c>
      <x:c r="G4" s="44" t="n">
        <x:v>63.98990899324416</x:v>
      </x:c>
      <x:c r="H4" s="44" t="n">
        <x:v>192.94938775510207</x:v>
      </x:c>
      <x:c r="I4" s="44" t="n">
        <x:v>338.2</x:v>
      </x:c>
      <x:c r="J4" s="44" t="n">
        <x:v>8</x:v>
      </x:c>
      <x:c r="K4" s="44" t="n">
        <x:v>0</x:v>
      </x:c>
      <x:c r="L4" s="44"/>
      <x:c r="M4" s="44"/>
      <x:c r="N4" s="45" t="n">
        <x:f>IF(K4=1,"",H4+I4)</x:f>
        <x:v>531.149387755102</x:v>
      </x:c>
      <x:c r="O4" s="45" t="n">
        <x:f>IF(K4=1,L4,F4*J4)</x:f>
        <x:v>527.1259415149689</x:v>
      </x:c>
      <x:c r="P4" s="45" t="n">
        <x:f>IF(K4=1,M4,N4*O4/1000)</x:f>
        <x:v>279.9826211055074</x:v>
      </x:c>
      <x:c r="Q4" s="45" t="n">
        <x:f>16/P4</x:f>
        <x:v>0.05714640407616811</x:v>
      </x:c>
      <x:c r="R4" s="45" t="n">
        <x:f>O4/$O$2</x:f>
        <x:v>50.08900558564871</x:v>
      </x:c>
      <x:c r="S4" s="45" t="n">
        <x:f>P4/$P$2</x:f>
        <x:v>232.02570692732485</x:v>
      </x:c>
      <x:c r="T4" s="9" t="str">
        <x:v>raw_remote\qwen3_vl_2b_wall_independent\batch_2\formal\batch_02\report.json</x:v>
      </x:c>
      <x:c r="U4" s="1"/>
      <x:c r="V4" s="1"/>
      <x:c r="W4" s="1"/>
      <x:c r="X4" s="1"/>
      <x:c r="Y4" s="1"/>
      <x:c r="Z4" s="1"/>
    </x:row>
    <x:row r="5">
      <x:c r="A5" s="38" t="str">
        <x:v>Qwen3-VL-2B</x:v>
      </x:c>
      <x:c r="B5" s="38" t="n">
        <x:v>4</x:v>
      </x:c>
      <x:c r="C5" s="42" t="n">
        <x:v>0.7663428036522781</x:v>
      </x:c>
      <x:c r="D5" s="38" t="n">
        <x:v>200</x:v>
      </x:c>
      <x:c r="E5" s="38" t="n">
        <x:v>50</x:v>
      </x:c>
      <x:c r="F5" s="44" t="n">
        <x:v>117.64312267303467</x:v>
      </x:c>
      <x:c r="G5" s="44" t="n">
        <x:v>110.72883903980255</x:v>
      </x:c>
      <x:c r="H5" s="44" t="n">
        <x:v>195.50992248062013</x:v>
      </x:c>
      <x:c r="I5" s="44" t="n">
        <x:v>338.2</x:v>
      </x:c>
      <x:c r="J5" s="44" t="n">
        <x:v>4</x:v>
      </x:c>
      <x:c r="K5" s="44" t="n">
        <x:v>0</x:v>
      </x:c>
      <x:c r="L5" s="44"/>
      <x:c r="M5" s="44"/>
      <x:c r="N5" s="45" t="n">
        <x:f>IF(K5=1,"",H5+I5)</x:f>
        <x:v>533.7099224806201</x:v>
      </x:c>
      <x:c r="O5" s="45" t="n">
        <x:f>IF(K5=1,L5,F5*J5)</x:f>
        <x:v>470.5724906921387</x:v>
      </x:c>
      <x:c r="P5" s="45" t="n">
        <x:f>IF(K5=1,M5,N5*O5/1000)</x:f>
        <x:v>251.14920752881366</x:v>
      </x:c>
      <x:c r="Q5" s="45" t="n">
        <x:f>16/P5</x:f>
        <x:v>0.06370714905865019</x:v>
      </x:c>
      <x:c r="R5" s="45" t="n">
        <x:f>O5/$O$2</x:f>
        <x:v>44.71513590659021</x:v>
      </x:c>
      <x:c r="S5" s="45" t="n">
        <x:f>P5/$P$2</x:f>
        <x:v>208.13103395853645</x:v>
      </x:c>
      <x:c r="T5" s="9" t="str">
        <x:v>raw_remote\qwen3_vl_2b_wall_independent\batch_4\formal\batch_04\report.json</x:v>
      </x:c>
      <x:c r="U5" s="1"/>
      <x:c r="V5" s="1"/>
      <x:c r="W5" s="1"/>
      <x:c r="X5" s="1"/>
      <x:c r="Y5" s="1"/>
      <x:c r="Z5" s="1"/>
    </x:row>
    <x:row r="6">
      <x:c r="A6" s="38" t="str">
        <x:v>Qwen3-VL-2B</x:v>
      </x:c>
      <x:c r="B6" s="38" t="n">
        <x:v>8</x:v>
      </x:c>
      <x:c r="C6" s="42" t="n">
        <x:v>0.7663428036522781</x:v>
      </x:c>
      <x:c r="D6" s="38" t="n">
        <x:v>200</x:v>
      </x:c>
      <x:c r="E6" s="38" t="n">
        <x:v>25</x:v>
      </x:c>
      <x:c r="F6" s="44" t="n">
        <x:v>221.7296776175499</x:v>
      </x:c>
      <x:c r="G6" s="44" t="n">
        <x:v>210.48252135515213</x:v>
      </x:c>
      <x:c r="H6" s="44" t="n">
        <x:v>196.5713333333333</x:v>
      </x:c>
      <x:c r="I6" s="44" t="n">
        <x:v>338.2</x:v>
      </x:c>
      <x:c r="J6" s="44" t="n">
        <x:v>2</x:v>
      </x:c>
      <x:c r="K6" s="44" t="n">
        <x:v>0</x:v>
      </x:c>
      <x:c r="L6" s="44"/>
      <x:c r="M6" s="44"/>
      <x:c r="N6" s="45" t="n">
        <x:f>IF(K6=1,"",H6+I6)</x:f>
        <x:v>534.7713333333334</x:v>
      </x:c>
      <x:c r="O6" s="45" t="n">
        <x:f>IF(K6=1,L6,F6*J6)</x:f>
        <x:v>443.4593552350998</x:v>
      </x:c>
      <x:c r="P6" s="45" t="n">
        <x:f>IF(K6=1,M6,N6*O6/1000)</x:f>
        <x:v>237.14935067821463</x:v>
      </x:c>
      <x:c r="Q6" s="45" t="n">
        <x:f>16/P6</x:f>
        <x:v>0.06746803208291396</x:v>
      </x:c>
      <x:c r="R6" s="45" t="n">
        <x:f>O6/$O$2</x:f>
        <x:v>42.13876869262052</x:v>
      </x:c>
      <x:c r="S6" s="45" t="n">
        <x:f>P6/$P$2</x:f>
        <x:v>196.52914713493425</x:v>
      </x:c>
      <x:c r="T6" s="9" t="str">
        <x:v>raw_remote\qwen3_vl_2b_wall_independent\batch_8\formal\batch_08\report.json</x:v>
      </x:c>
      <x:c r="U6" s="1"/>
      <x:c r="V6" s="1"/>
      <x:c r="W6" s="1"/>
      <x:c r="X6" s="1"/>
      <x:c r="Y6" s="1"/>
      <x:c r="Z6" s="1"/>
    </x:row>
    <x:row r="7">
      <x:c r="A7" s="38" t="str">
        <x:v>CLIP ViT-B/32</x:v>
      </x:c>
      <x:c r="B7" s="38" t="n">
        <x:v>1</x:v>
      </x:c>
      <x:c r="C7" s="42" t="n">
        <x:v>0.7251568</x:v>
      </x:c>
      <x:c r="D7" s="38" t="n">
        <x:v>200</x:v>
      </x:c>
      <x:c r="E7" s="38" t="n">
        <x:v>200</x:v>
      </x:c>
      <x:c r="F7" s="44" t="n">
        <x:v>8.073025234043598</x:v>
      </x:c>
      <x:c r="G7" s="44" t="n">
        <x:v>6.136395409703255</x:v>
      </x:c>
      <x:c r="H7" s="44" t="n">
        <x:v>77.72486301369862</x:v>
      </x:c>
      <x:c r="I7" s="44" t="n">
        <x:v>338.2</x:v>
      </x:c>
      <x:c r="J7" s="44" t="n">
        <x:v>16</x:v>
      </x:c>
      <x:c r="K7" s="44" t="n">
        <x:v>0</x:v>
      </x:c>
      <x:c r="L7" s="44"/>
      <x:c r="M7" s="44"/>
      <x:c r="N7" s="45" t="n">
        <x:f>IF(K7=1,"",H7+I7)</x:f>
        <x:v>415.9248630136986</x:v>
      </x:c>
      <x:c r="O7" s="45" t="n">
        <x:f>IF(K7=1,L7,F7*J7)</x:f>
        <x:v>129.16840374469757</x:v>
      </x:c>
      <x:c r="P7" s="45" t="n">
        <x:f>IF(K7=1,M7,N7*O7/1000)</x:f>
        <x:v>53.72435063321145</x:v>
      </x:c>
      <x:c r="Q7" s="45" t="n">
        <x:f>16/P7</x:f>
        <x:v>0.2978165359174966</x:v>
      </x:c>
      <x:c r="R7" s="45" t="n">
        <x:f>O7/$O$2</x:f>
        <x:v>12.273948950535111</x:v>
      </x:c>
      <x:c r="S7" s="45" t="n">
        <x:f>P7/$P$2</x:f>
        <x:v>44.522157788446954</x:v>
      </x:c>
      <x:c r="T7" s="9" t="str">
        <x:v>raw_remote\clip_vit_b32\report.json</x:v>
      </x:c>
      <x:c r="U7" s="1"/>
      <x:c r="V7" s="1"/>
      <x:c r="W7" s="1"/>
      <x:c r="X7" s="1"/>
      <x:c r="Y7" s="1"/>
      <x:c r="Z7" s="1"/>
    </x:row>
    <x:row r="8">
      <x:c r="A8" s="38" t="str">
        <x:v>CLIP ViT-B/32</x:v>
      </x:c>
      <x:c r="B8" s="38" t="n">
        <x:v>2</x:v>
      </x:c>
      <x:c r="C8" s="42" t="n">
        <x:v>0.7251568</x:v>
      </x:c>
      <x:c r="D8" s="38" t="n">
        <x:v>200</x:v>
      </x:c>
      <x:c r="E8" s="38" t="n">
        <x:v>100</x:v>
      </x:c>
      <x:c r="F8" s="44" t="n">
        <x:v>9.9562156945467</x:v>
      </x:c>
      <x:c r="G8" s="44" t="n">
        <x:v>6.781746447086334</x:v>
      </x:c>
      <x:c r="H8" s="44" t="n">
        <x:v>116.24929577464789</x:v>
      </x:c>
      <x:c r="I8" s="44" t="n">
        <x:v>338.2</x:v>
      </x:c>
      <x:c r="J8" s="44" t="n">
        <x:v>8</x:v>
      </x:c>
      <x:c r="K8" s="44" t="n">
        <x:v>0</x:v>
      </x:c>
      <x:c r="L8" s="44"/>
      <x:c r="M8" s="44"/>
      <x:c r="N8" s="45" t="n">
        <x:f>IF(K8=1,"",H8+I8)</x:f>
        <x:v>454.4492957746479</x:v>
      </x:c>
      <x:c r="O8" s="45" t="n">
        <x:f>IF(K8=1,L8,F8*J8)</x:f>
        <x:v>79.6497255563736</x:v>
      </x:c>
      <x:c r="P8" s="45" t="n">
        <x:f>IF(K8=1,M8,N8*O8/1000)</x:f>
        <x:v>36.196761687737954</x:v>
      </x:c>
      <x:c r="Q8" s="45" t="n">
        <x:f>16/P8</x:f>
        <x:v>0.442028492438874</x:v>
      </x:c>
      <x:c r="R8" s="45" t="n">
        <x:f>O8/$O$2</x:f>
        <x:v>7.568543367117308</x:v>
      </x:c>
      <x:c r="S8" s="45" t="n">
        <x:f>P8/$P$2</x:f>
        <x:v>29.99678760744376</x:v>
      </x:c>
      <x:c r="T8" s="9" t="str">
        <x:v>raw_remote\clip_vit_b32_independent\batch_2\report.json</x:v>
      </x:c>
      <x:c r="U8" s="1"/>
      <x:c r="V8" s="1"/>
      <x:c r="W8" s="1"/>
      <x:c r="X8" s="1"/>
      <x:c r="Y8" s="1"/>
      <x:c r="Z8" s="1"/>
    </x:row>
    <x:row r="9">
      <x:c r="A9" s="38" t="str">
        <x:v>CLIP ViT-B/32</x:v>
      </x:c>
      <x:c r="B9" s="38" t="n">
        <x:v>4</x:v>
      </x:c>
      <x:c r="C9" s="42" t="n">
        <x:v>0.7251568</x:v>
      </x:c>
      <x:c r="D9" s="38" t="n">
        <x:v>200</x:v>
      </x:c>
      <x:c r="E9" s="38" t="n">
        <x:v>50</x:v>
      </x:c>
      <x:c r="F9" s="44" t="n">
        <x:v>12.73058533668518</x:v>
      </x:c>
      <x:c r="G9" s="44" t="n">
        <x:v>7.945765182375905</x:v>
      </x:c>
      <x:c r="H9" s="44" t="n">
        <x:v>150.56358620689656</x:v>
      </x:c>
      <x:c r="I9" s="44" t="n">
        <x:v>338.2</x:v>
      </x:c>
      <x:c r="J9" s="44" t="n">
        <x:v>4</x:v>
      </x:c>
      <x:c r="K9" s="44" t="n">
        <x:v>0</x:v>
      </x:c>
      <x:c r="L9" s="44"/>
      <x:c r="M9" s="44"/>
      <x:c r="N9" s="45" t="n">
        <x:f>IF(K9=1,"",H9+I9)</x:f>
        <x:v>488.76358620689655</x:v>
      </x:c>
      <x:c r="O9" s="45" t="n">
        <x:f>IF(K9=1,L9,F9*J9)</x:f>
        <x:v>50.92234134674072</x:v>
      </x:c>
      <x:c r="P9" s="45" t="n">
        <x:f>IF(K9=1,M9,N9*O9/1000)</x:f>
        <x:v>24.88898617468472</x:v>
      </x:c>
      <x:c r="Q9" s="45" t="n">
        <x:f>16/P9</x:f>
        <x:v>0.6428546300642026</x:v>
      </x:c>
      <x:c r="R9" s="45" t="n">
        <x:f>O9/$O$2</x:f>
        <x:v>4.8387856473551585</x:v>
      </x:c>
      <x:c r="S9" s="45" t="n">
        <x:f>P9/$P$2</x:f>
        <x:v>20.625868095253868</x:v>
      </x:c>
      <x:c r="T9" s="9" t="str">
        <x:v>raw_remote\clip_vit_b32_independent\batch_4\report.json</x:v>
      </x:c>
      <x:c r="U9" s="1"/>
      <x:c r="V9" s="1"/>
      <x:c r="W9" s="1"/>
      <x:c r="X9" s="1"/>
      <x:c r="Y9" s="1"/>
      <x:c r="Z9" s="1"/>
    </x:row>
    <x:row r="10">
      <x:c r="A10" s="38" t="str">
        <x:v>CLIP ViT-B/32</x:v>
      </x:c>
      <x:c r="B10" s="38" t="n">
        <x:v>8</x:v>
      </x:c>
      <x:c r="C10" s="42" t="n">
        <x:v>0.7251568</x:v>
      </x:c>
      <x:c r="D10" s="38" t="n">
        <x:v>200</x:v>
      </x:c>
      <x:c r="E10" s="38" t="n">
        <x:v>25</x:v>
      </x:c>
      <x:c r="F10" s="44" t="n">
        <x:v>18.791452646255493</x:v>
      </x:c>
      <x:c r="G10" s="44" t="n">
        <x:v>11.38653904199599</x:v>
      </x:c>
      <x:c r="H10" s="44" t="n">
        <x:v>212.8436879432624</x:v>
      </x:c>
      <x:c r="I10" s="44" t="n">
        <x:v>338.2</x:v>
      </x:c>
      <x:c r="J10" s="44" t="n">
        <x:v>2</x:v>
      </x:c>
      <x:c r="K10" s="44" t="n">
        <x:v>0</x:v>
      </x:c>
      <x:c r="L10" s="44"/>
      <x:c r="M10" s="44"/>
      <x:c r="N10" s="45" t="n">
        <x:f>IF(K10=1,"",H10+I10)</x:f>
        <x:v>551.0436879432624</x:v>
      </x:c>
      <x:c r="O10" s="45" t="n">
        <x:f>IF(K10=1,L10,F10*J10)</x:f>
        <x:v>37.582905292510986</x:v>
      </x:c>
      <x:c r="P10" s="45" t="n">
        <x:f>IF(K10=1,M10,N10*O10/1000)</x:f>
        <x:v>20.70982273600761</x:v>
      </x:c>
      <x:c r="Q10" s="45" t="n">
        <x:f>16/P10</x:f>
        <x:v>0.7725802487039752</x:v>
      </x:c>
      <x:c r="R10" s="45" t="n">
        <x:f>O10/$O$2</x:f>
        <x:v>3.5712345093682547</x:v>
      </x:c>
      <x:c r="S10" s="45" t="n">
        <x:f>P10/$P$2</x:f>
        <x:v>17.162534023320596</x:v>
      </x:c>
      <x:c r="T10" s="9" t="str">
        <x:v>raw_remote\clip_vit_b32_independent\batch_8\report.json</x:v>
      </x:c>
      <x:c r="U10" s="1"/>
      <x:c r="V10" s="1"/>
      <x:c r="W10" s="1"/>
      <x:c r="X10" s="1"/>
      <x:c r="Y10" s="1"/>
      <x:c r="Z10" s="1"/>
    </x:row>
    <x:row r="11">
      <x:c r="A11" s="38" t="str">
        <x:v>DeepSeek-VL2-Tiny</x:v>
      </x:c>
      <x:c r="B11" s="38" t="n">
        <x:v>1</x:v>
      </x:c>
      <x:c r="C11" s="42" t="n">
        <x:v>0.5688169</x:v>
      </x:c>
      <x:c r="D11" s="38" t="n">
        <x:v>200</x:v>
      </x:c>
      <x:c r="E11" s="38" t="n">
        <x:v>200</x:v>
      </x:c>
      <x:c r="F11" s="44" t="n">
        <x:v>213.48728455603123</x:v>
      </x:c>
      <x:c r="G11" s="44" t="n">
        <x:v>182.25208781659603</x:v>
      </x:c>
      <x:c r="H11" s="44" t="n">
        <x:v>172.35314285714287</x:v>
      </x:c>
      <x:c r="I11" s="44" t="n">
        <x:v>338.2</x:v>
      </x:c>
      <x:c r="J11" s="44" t="n">
        <x:v>16</x:v>
      </x:c>
      <x:c r="K11" s="44" t="n">
        <x:v>0</x:v>
      </x:c>
      <x:c r="L11" s="44"/>
      <x:c r="M11" s="44"/>
      <x:c r="N11" s="45" t="n">
        <x:f>IF(K11=1,"",H11+I11)</x:f>
        <x:v>510.55314285714286</x:v>
      </x:c>
      <x:c r="O11" s="45" t="n">
        <x:f>IF(K11=1,L11,F11*J11)</x:f>
        <x:v>3415.7965528964996</x:v>
      </x:c>
      <x:c r="P11" s="45" t="n">
        <x:f>IF(K11=1,M11,N11*O11/1000)</x:f>
        <x:v>1743.9456654419027</x:v>
      </x:c>
      <x:c r="Q11" s="45" t="n">
        <x:f>16/P11</x:f>
        <x:v>0.009174597762451343</x:v>
      </x:c>
      <x:c r="R11" s="45" t="n">
        <x:f>O11/$O$2</x:f>
        <x:v>324.57869959073867</x:v>
      </x:c>
      <x:c r="S11" s="45" t="n">
        <x:f>P11/$P$2</x:f>
        <x:v>1445.2333658042248</x:v>
      </x:c>
      <x:c r="T11" s="9" t="str">
        <x:v>raw_remote\deepseek_vl2_tiny_independent\batch_1\report.json</x:v>
      </x:c>
      <x:c r="U11" s="1"/>
      <x:c r="V11" s="1"/>
      <x:c r="W11" s="1"/>
      <x:c r="X11" s="1"/>
      <x:c r="Y11" s="1"/>
      <x:c r="Z11" s="1"/>
    </x:row>
    <x:row r="12">
      <x:c r="A12" s="38" t="str">
        <x:v>DeepSeek-VL2-Tiny</x:v>
      </x:c>
      <x:c r="B12" s="38" t="n">
        <x:v>2</x:v>
      </x:c>
      <x:c r="C12" s="42" t="n">
        <x:v>0.5688169</x:v>
      </x:c>
      <x:c r="D12" s="38" t="n">
        <x:v>200</x:v>
      </x:c>
      <x:c r="E12" s="38" t="n">
        <x:v>100</x:v>
      </x:c>
      <x:c r="F12" s="44" t="n">
        <x:v>252.74298056960106</x:v>
      </x:c>
      <x:c r="G12" s="44" t="n">
        <x:v>258.3142977207899</x:v>
      </x:c>
      <x:c r="H12" s="44" t="n">
        <x:v>208.60728571428572</x:v>
      </x:c>
      <x:c r="I12" s="44" t="n">
        <x:v>338.2</x:v>
      </x:c>
      <x:c r="J12" s="44" t="n">
        <x:v>8</x:v>
      </x:c>
      <x:c r="K12" s="44" t="n">
        <x:v>0</x:v>
      </x:c>
      <x:c r="L12" s="44"/>
      <x:c r="M12" s="44"/>
      <x:c r="N12" s="45" t="n">
        <x:f>IF(K12=1,"",H12+I12)</x:f>
        <x:v>546.8072857142857</x:v>
      </x:c>
      <x:c r="O12" s="45" t="n">
        <x:f>IF(K12=1,L12,F12*J12)</x:f>
        <x:v>2021.9438445568085</x:v>
      </x:c>
      <x:c r="P12" s="45" t="n">
        <x:f>IF(K12=1,M12,N12*O12/1000)</x:f>
        <x:v>1105.6136255088163</x:v>
      </x:c>
      <x:c r="Q12" s="45" t="n">
        <x:f>16/P12</x:f>
        <x:v>0.01447160167968861</x:v>
      </x:c>
      <x:c r="R12" s="45" t="n">
        <x:f>O12/$O$2</x:f>
        <x:v>192.13085251088523</x:v>
      </x:c>
      <x:c r="S12" s="45" t="n">
        <x:f>P12/$P$2</x:f>
        <x:v>916.2382366243216</x:v>
      </x:c>
      <x:c r="T12" s="9" t="str">
        <x:v>raw_remote\deepseek_vl2_tiny_independent\batch_2\report.json</x:v>
      </x:c>
      <x:c r="U12" s="1"/>
      <x:c r="V12" s="1"/>
      <x:c r="W12" s="1"/>
      <x:c r="X12" s="1"/>
      <x:c r="Y12" s="1"/>
      <x:c r="Z12" s="1"/>
    </x:row>
    <x:row r="13">
      <x:c r="A13" s="38" t="str">
        <x:v>DeepSeek-VL2-Tiny</x:v>
      </x:c>
      <x:c r="B13" s="38" t="n">
        <x:v>4</x:v>
      </x:c>
      <x:c r="C13" s="42" t="n">
        <x:v>0.5688169</x:v>
      </x:c>
      <x:c r="D13" s="38" t="n">
        <x:v>200</x:v>
      </x:c>
      <x:c r="E13" s="38" t="n">
        <x:v>50</x:v>
      </x:c>
      <x:c r="F13" s="44" t="n">
        <x:v>399.37702909111977</x:v>
      </x:c>
      <x:c r="G13" s="44" t="n">
        <x:v>382.9978670924902</x:v>
      </x:c>
      <x:c r="H13" s="44" t="n">
        <x:v>242.58198581560288</x:v>
      </x:c>
      <x:c r="I13" s="44" t="n">
        <x:v>338.2</x:v>
      </x:c>
      <x:c r="J13" s="44" t="n">
        <x:v>4</x:v>
      </x:c>
      <x:c r="K13" s="44" t="n">
        <x:v>0</x:v>
      </x:c>
      <x:c r="L13" s="44"/>
      <x:c r="M13" s="44"/>
      <x:c r="N13" s="45" t="n">
        <x:f>IF(K13=1,"",H13+I13)</x:f>
        <x:v>580.7819858156029</x:v>
      </x:c>
      <x:c r="O13" s="45" t="n">
        <x:f>IF(K13=1,L13,F13*J13)</x:f>
        <x:v>1597.508116364479</x:v>
      </x:c>
      <x:c r="P13" s="45" t="n">
        <x:f>IF(K13=1,M13,N13*O13/1000)</x:f>
        <x:v>927.8039361787053</x:v>
      </x:c>
      <x:c r="Q13" s="45" t="n">
        <x:f>16/P13</x:f>
        <x:v>0.017245022764074826</x:v>
      </x:c>
      <x:c r="R13" s="45" t="n">
        <x:f>O13/$O$2</x:f>
        <x:v>151.79976294417918</x:v>
      </x:c>
      <x:c r="S13" s="45" t="n">
        <x:f>P13/$P$2</x:f>
        <x:v>768.8847376733988</x:v>
      </x:c>
      <x:c r="T13" s="9" t="str">
        <x:v>raw_remote\deepseek_vl2_tiny_independent\batch_4\report.json</x:v>
      </x:c>
      <x:c r="U13" s="1"/>
      <x:c r="V13" s="1"/>
      <x:c r="W13" s="1"/>
      <x:c r="X13" s="1"/>
      <x:c r="Y13" s="1"/>
      <x:c r="Z13" s="1"/>
    </x:row>
    <x:row r="14">
      <x:c r="A14" s="38" t="str">
        <x:v>DeepSeek-VL2-Tiny</x:v>
      </x:c>
      <x:c r="B14" s="38" t="n">
        <x:v>8</x:v>
      </x:c>
      <x:c r="C14" s="42" t="n">
        <x:v>0.5688169</x:v>
      </x:c>
      <x:c r="D14" s="38" t="n">
        <x:v>200</x:v>
      </x:c>
      <x:c r="E14" s="38" t="n">
        <x:v>25</x:v>
      </x:c>
      <x:c r="F14" s="44" t="n">
        <x:v>736.1025947332382</x:v>
      </x:c>
      <x:c r="G14" s="44" t="n">
        <x:v>684.8752528429031</x:v>
      </x:c>
      <x:c r="H14" s="44" t="n">
        <x:v>245.8082269503546</x:v>
      </x:c>
      <x:c r="I14" s="44" t="n">
        <x:v>338.2</x:v>
      </x:c>
      <x:c r="J14" s="44" t="n">
        <x:v>2</x:v>
      </x:c>
      <x:c r="K14" s="44" t="n">
        <x:v>0</x:v>
      </x:c>
      <x:c r="L14" s="44"/>
      <x:c r="M14" s="44"/>
      <x:c r="N14" s="45" t="n">
        <x:f>IF(K14=1,"",H14+I14)</x:f>
        <x:v>584.0082269503546</x:v>
      </x:c>
      <x:c r="O14" s="45" t="n">
        <x:f>IF(K14=1,L14,F14*J14)</x:f>
        <x:v>1472.2051894664764</x:v>
      </x:c>
      <x:c r="P14" s="45" t="n">
        <x:f>IF(K14=1,M14,N14*O14/1000)</x:f>
        <x:v>859.7799424074277</x:v>
      </x:c>
      <x:c r="Q14" s="45" t="n">
        <x:f>16/P14</x:f>
        <x:v>0.01860941295652837</x:v>
      </x:c>
      <x:c r="R14" s="45" t="n">
        <x:f>O14/$O$2</x:f>
        <x:v>139.8931225931959</x:v>
      </x:c>
      <x:c r="S14" s="45" t="n">
        <x:f>P14/$P$2</x:f>
        <x:v>712.5122557654846</x:v>
      </x:c>
      <x:c r="T14" s="9" t="str">
        <x:v>raw_remote\deepseek_vl2_tiny_independent\batch_8\report.json</x:v>
      </x:c>
      <x:c r="U14" s="1"/>
      <x:c r="V14" s="1"/>
      <x:c r="W14" s="1"/>
      <x:c r="X14" s="1"/>
      <x:c r="Y14" s="1"/>
      <x:c r="Z14" s="1"/>
    </x:row>
    <x:row r="15">
      <x:c r="A15" s="38" t="str">
        <x:v>YOLO11s</x:v>
      </x:c>
      <x:c r="B15" s="38" t="n">
        <x:v>1</x:v>
      </x:c>
      <x:c r="C15" s="42" t="n">
        <x:v>0.7015822</x:v>
      </x:c>
      <x:c r="D15" s="38" t="n">
        <x:v>200</x:v>
      </x:c>
      <x:c r="E15" s="38" t="n">
        <x:v>200</x:v>
      </x:c>
      <x:c r="F15" s="44" t="n">
        <x:v>15.445560105144978</x:v>
      </x:c>
      <x:c r="G15" s="44" t="n">
        <x:v>14.096516370773315</x:v>
      </x:c>
      <x:c r="H15" s="44" t="n">
        <x:v>122.16021276595745</x:v>
      </x:c>
      <x:c r="I15" s="44" t="n">
        <x:v>338.2</x:v>
      </x:c>
      <x:c r="J15" s="44" t="n">
        <x:v>16</x:v>
      </x:c>
      <x:c r="K15" s="44" t="n">
        <x:v>0</x:v>
      </x:c>
      <x:c r="L15" s="44"/>
      <x:c r="M15" s="44"/>
      <x:c r="N15" s="45" t="n">
        <x:f>IF(K15=1,"",H15+I15)</x:f>
        <x:v>460.36021276595744</x:v>
      </x:c>
      <x:c r="O15" s="45" t="n">
        <x:f>IF(K15=1,L15,F15*J15)</x:f>
        <x:v>247.12896168231964</x:v>
      </x:c>
      <x:c r="P15" s="45" t="n">
        <x:f>IF(K15=1,M15,N15*O15/1000)</x:f>
        <x:v>113.76834138070281</x:v>
      </x:c>
      <x:c r="Q15" s="45" t="n">
        <x:f>16/P15</x:f>
        <x:v>0.14063666399476835</x:v>
      </x:c>
      <x:c r="R15" s="45" t="n">
        <x:f>O15/$O$2</x:f>
        <x:v>23.482896528494532</x:v>
      </x:c>
      <x:c r="S15" s="45" t="n">
        <x:f>P15/$P$2</x:f>
        <x:v>94.2814940819466</x:v>
      </x:c>
      <x:c r="T15" s="9" t="str">
        <x:v>raw_remote\yolo11s_independent\batch_1\report.json</x:v>
      </x:c>
      <x:c r="U15" s="1"/>
      <x:c r="V15" s="1"/>
      <x:c r="W15" s="1"/>
      <x:c r="X15" s="1"/>
      <x:c r="Y15" s="1"/>
      <x:c r="Z15" s="1"/>
    </x:row>
    <x:row r="16">
      <x:c r="A16" s="38" t="str">
        <x:v>YOLO11s</x:v>
      </x:c>
      <x:c r="B16" s="38" t="n">
        <x:v>2</x:v>
      </x:c>
      <x:c r="C16" s="42" t="n">
        <x:v>0.7015822</x:v>
      </x:c>
      <x:c r="D16" s="38" t="n">
        <x:v>200</x:v>
      </x:c>
      <x:c r="E16" s="38" t="n">
        <x:v>100</x:v>
      </x:c>
      <x:c r="F16" s="44" t="n">
        <x:v>18.177985101938248</x:v>
      </x:c>
      <x:c r="G16" s="44" t="n">
        <x:v>13.408413529396057</x:v>
      </x:c>
      <x:c r="H16" s="44" t="n">
        <x:v>184.59985815602835</x:v>
      </x:c>
      <x:c r="I16" s="44" t="n">
        <x:v>338.2</x:v>
      </x:c>
      <x:c r="J16" s="44" t="n">
        <x:v>8</x:v>
      </x:c>
      <x:c r="K16" s="44" t="n">
        <x:v>0</x:v>
      </x:c>
      <x:c r="L16" s="44"/>
      <x:c r="M16" s="44"/>
      <x:c r="N16" s="45" t="n">
        <x:f>IF(K16=1,"",H16+I16)</x:f>
        <x:v>522.7998581560283</x:v>
      </x:c>
      <x:c r="O16" s="45" t="n">
        <x:f>IF(K16=1,L16,F16*J16)</x:f>
        <x:v>145.42388081550598</x:v>
      </x:c>
      <x:c r="P16" s="45" t="n">
        <x:f>IF(K16=1,M16,N16*O16/1000)</x:f>
        <x:v>76.0275842628457</x:v>
      </x:c>
      <x:c r="Q16" s="45" t="n">
        <x:f>16/P16</x:f>
        <x:v>0.2104499328123348</x:v>
      </x:c>
      <x:c r="R16" s="45" t="n">
        <x:f>O16/$O$2</x:f>
        <x:v>13.818590596243197</x:v>
      </x:c>
      <x:c r="S16" s="45" t="n">
        <x:f>P16/$P$2</x:f>
        <x:v>63.00517480303186</x:v>
      </x:c>
      <x:c r="T16" s="9" t="str">
        <x:v>raw_remote\yolo11s_independent\batch_2\report.json</x:v>
      </x:c>
      <x:c r="U16" s="1"/>
      <x:c r="V16" s="1"/>
      <x:c r="W16" s="1"/>
      <x:c r="X16" s="1"/>
      <x:c r="Y16" s="1"/>
      <x:c r="Z16" s="1"/>
    </x:row>
    <x:row r="17">
      <x:c r="A17" s="38" t="str">
        <x:v>YOLO11s</x:v>
      </x:c>
      <x:c r="B17" s="38" t="n">
        <x:v>4</x:v>
      </x:c>
      <x:c r="C17" s="42" t="n">
        <x:v>0.7015822</x:v>
      </x:c>
      <x:c r="D17" s="38" t="n">
        <x:v>200</x:v>
      </x:c>
      <x:c r="E17" s="38" t="n">
        <x:v>50</x:v>
      </x:c>
      <x:c r="F17" s="44" t="n">
        <x:v>31.75148978829384</x:v>
      </x:c>
      <x:c r="G17" s="44" t="n">
        <x:v>20.86632251739502</x:v>
      </x:c>
      <x:c r="H17" s="44" t="n">
        <x:v>247.90050359712228</x:v>
      </x:c>
      <x:c r="I17" s="44" t="n">
        <x:v>338.2</x:v>
      </x:c>
      <x:c r="J17" s="44" t="n">
        <x:v>4</x:v>
      </x:c>
      <x:c r="K17" s="44" t="n">
        <x:v>0</x:v>
      </x:c>
      <x:c r="L17" s="44"/>
      <x:c r="M17" s="44"/>
      <x:c r="N17" s="45" t="n">
        <x:f>IF(K17=1,"",H17+I17)</x:f>
        <x:v>586.1005035971223</x:v>
      </x:c>
      <x:c r="O17" s="45" t="n">
        <x:f>IF(K17=1,L17,F17*J17)</x:f>
        <x:v>127.00595915317535</x:v>
      </x:c>
      <x:c r="P17" s="45" t="n">
        <x:f>IF(K17=1,M17,N17*O17/1000)</x:f>
        <x:v>74.4382566195116</x:v>
      </x:c>
      <x:c r="Q17" s="45" t="n">
        <x:f>16/P17</x:f>
        <x:v>0.21494323922419903</x:v>
      </x:c>
      <x:c r="R17" s="45" t="n">
        <x:f>O17/$O$2</x:f>
        <x:v>12.068467317602924</x:v>
      </x:c>
      <x:c r="S17" s="45" t="n">
        <x:f>P17/$P$2</x:f>
        <x:v>61.68807566120773</x:v>
      </x:c>
      <x:c r="T17" s="9" t="str">
        <x:v>raw_remote\yolo11s_independent\batch_4\report.json</x:v>
      </x:c>
      <x:c r="U17" s="1"/>
      <x:c r="V17" s="1"/>
      <x:c r="W17" s="1"/>
      <x:c r="X17" s="1"/>
      <x:c r="Y17" s="1"/>
      <x:c r="Z17" s="1"/>
    </x:row>
    <x:row r="18">
      <x:c r="A18" s="40" t="str">
        <x:v>YOLO11s</x:v>
      </x:c>
      <x:c r="B18" s="40" t="n">
        <x:v>8</x:v>
      </x:c>
      <x:c r="C18" s="43" t="n">
        <x:v>0.7015822</x:v>
      </x:c>
      <x:c r="D18" s="40" t="n">
        <x:v>200</x:v>
      </x:c>
      <x:c r="E18" s="40" t="n">
        <x:v>25</x:v>
      </x:c>
      <x:c r="F18" s="46" t="n">
        <x:v>52.41983383893967</x:v>
      </x:c>
      <x:c r="G18" s="46" t="n">
        <x:v>36.44327521324158</x:v>
      </x:c>
      <x:c r="H18" s="46" t="n">
        <x:v>248.32328467153286</x:v>
      </x:c>
      <x:c r="I18" s="46" t="n">
        <x:v>338.2</x:v>
      </x:c>
      <x:c r="J18" s="46" t="n">
        <x:v>2</x:v>
      </x:c>
      <x:c r="K18" s="46" t="n">
        <x:v>0</x:v>
      </x:c>
      <x:c r="L18" s="46"/>
      <x:c r="M18" s="46"/>
      <x:c r="N18" s="47" t="n">
        <x:f>IF(K18=1,"",H18+I18)</x:f>
        <x:v>586.5232846715328</x:v>
      </x:c>
      <x:c r="O18" s="47" t="n">
        <x:f>IF(K18=1,L18,F18*J18)</x:f>
        <x:v>104.83966767787933</x:v>
      </x:c>
      <x:c r="P18" s="47" t="n">
        <x:f>IF(K18=1,M18,N18*O18/1000)</x:f>
        <x:v>61.49090625030171</x:v>
      </x:c>
      <x:c r="Q18" s="47" t="n">
        <x:f>16/P18</x:f>
        <x:v>0.2602010764790362</x:v>
      </x:c>
      <x:c r="R18" s="47" t="n">
        <x:f>O18/$O$2</x:f>
        <x:v>9.962163282691959</x:v>
      </x:c>
      <x:c r="S18" s="47" t="n">
        <x:f>P18/$P$2</x:f>
        <x:v>50.95841640453685</x:v>
      </x:c>
      <x:c r="T18" s="10" t="str">
        <x:v>raw_remote\yolo11s_independent\batch_8\report.json</x:v>
      </x:c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8" t="str">
        <x:v>Measurement protocol and provenance</x:v>
      </x:c>
      <x:c r="B2" s="48"/>
      <x:c r="C2" s="48"/>
      <x:c r="D2" s="48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0" t="str">
        <x:v>Item</x:v>
      </x:c>
      <x:c r="B4" s="50" t="str">
        <x:v>Definition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1" t="str">
        <x:v>GPU</x:v>
      </x:c>
      <x:c r="B5" s="51" t="str">
        <x:v>NVIDIA A100-PCIE-40GB, physical index 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1" t="str">
        <x:v>Sample count</x:v>
      </x:c>
      <x:c r="B6" s="51" t="str">
        <x:v>First 200 LGVQ test videos in manifest order for every setting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1" t="str">
        <x:v>Batch settings</x:v>
      </x:c>
      <x:c r="B7" s="51" t="str">
        <x:v>1, 2, 4 and 8 videos; 16-video totals use 16, 8, 4 and 2 calls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1" t="str">
        <x:v>Warm-up</x:v>
      </x:c>
      <x:c r="B8" s="51" t="str">
        <x:v>No explicit warm-up; call one is retained in the mean and P95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1" t="str">
        <x:v>Timing boundary</x:v>
      </x:c>
      <x:c r="B9" s="51" t="str">
        <x:v>First native backbone block to scalar temporal-quality score ready on GPU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1" t="str">
        <x:v>Qwen timing</x:v>
      </x:c>
      <x:c r="B10" s="51" t="str">
        <x:v>Synchronized wall time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1" t="str">
        <x:v>Other baseline timing</x:v>
      </x:c>
      <x:c r="B11" s="51" t="str">
        <x:v>Synchronized wall time; CUDA Event is retained in raw evidence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1" t="str">
        <x:v>Energy</x:v>
      </x:c>
      <x:c r="B12" s="51" t="str">
        <x:v>(338.2 W host + active A100 board mean) × 16-video latency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 t="str">
        <x:v>Performance</x:v>
      </x:c>
      <x:c r="B13" s="52" t="str">
        <x:v>Fixed formal full-test SRCC; not recomputed from the 200-video timing subset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A2:D2"/>
  </x:mergeCells>
  <x:pageMargins left="0.7" right="0.7" top="0.75" bottom="0.75" header="0.3" footer="0.3"/>
</x:worksheet>
</file>